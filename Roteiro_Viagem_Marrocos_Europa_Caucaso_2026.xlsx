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os" sheetId="1" state="visible" r:id="rId3"/>
    <sheet name="Hospedagem" sheetId="2" state="visible" r:id="rId4"/>
    <sheet name="Roteiro" sheetId="3" state="visible" r:id="rId5"/>
    <sheet name="Pendênci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<sst xmlns="http://schemas.openxmlformats.org/spreadsheetml/2006/main" count="546" uniqueCount="362">
  <si>
    <t xml:space="preserve">Itinerário de Voos</t>
  </si>
  <si>
    <t xml:space="preserve">Horários no fuso local de cada aeroporto. Linha amarela = voo ainda não comprado. Coluna lilás = preencher com os localizadores dos meninos.</t>
  </si>
  <si>
    <t xml:space="preserve">Data</t>
  </si>
  <si>
    <t xml:space="preserve">Trecho (Origem → Destino)</t>
  </si>
  <si>
    <t xml:space="preserve">Companhia Aérea</t>
  </si>
  <si>
    <t xml:space="preserve">Voo</t>
  </si>
  <si>
    <t xml:space="preserve">Partida</t>
  </si>
  <si>
    <t xml:space="preserve">Chegada</t>
  </si>
  <si>
    <t xml:space="preserve">Localizador</t>
  </si>
  <si>
    <t xml:space="preserve">Localizador (meninos)</t>
  </si>
  <si>
    <t xml:space="preserve">Status</t>
  </si>
  <si>
    <t xml:space="preserve">Passageiros / Observações</t>
  </si>
  <si>
    <t xml:space="preserve">16/10/2026</t>
  </si>
  <si>
    <t xml:space="preserve">Brasília (BSB) → São Paulo (CGH)</t>
  </si>
  <si>
    <t xml:space="preserve">Azul</t>
  </si>
  <si>
    <t xml:space="preserve">AD 6017</t>
  </si>
  <si>
    <t xml:space="preserve">15:55</t>
  </si>
  <si>
    <t xml:space="preserve">17:40</t>
  </si>
  <si>
    <t xml:space="preserve">GQHUJX</t>
  </si>
  <si>
    <t xml:space="preserve">Confirmado</t>
  </si>
  <si>
    <t xml:space="preserve">18/10/2026</t>
  </si>
  <si>
    <t xml:space="preserve">São Paulo (GRU) → Luanda (NBJ)</t>
  </si>
  <si>
    <t xml:space="preserve">TAAG Angola Airlines</t>
  </si>
  <si>
    <t xml:space="preserve">748</t>
  </si>
  <si>
    <t xml:space="preserve">18:05</t>
  </si>
  <si>
    <t xml:space="preserve">06:40 (+1d)</t>
  </si>
  <si>
    <t xml:space="preserve">CV4F48</t>
  </si>
  <si>
    <t xml:space="preserve">BK45KB</t>
  </si>
  <si>
    <t xml:space="preserve">Claudio no mesmo voo.</t>
  </si>
  <si>
    <t xml:space="preserve">19/10/2026</t>
  </si>
  <si>
    <t xml:space="preserve">Luanda (NBJ) → Lisboa (LIS)</t>
  </si>
  <si>
    <t xml:space="preserve">652</t>
  </si>
  <si>
    <t xml:space="preserve">13:00</t>
  </si>
  <si>
    <t xml:space="preserve">20:35</t>
  </si>
  <si>
    <t xml:space="preserve">20/10/2026</t>
  </si>
  <si>
    <t xml:space="preserve">Lisboa (LIS) → Marraqueche (RAK)</t>
  </si>
  <si>
    <t xml:space="preserve">Ryanair</t>
  </si>
  <si>
    <t xml:space="preserve">FR 4390</t>
  </si>
  <si>
    <t xml:space="preserve">22:20</t>
  </si>
  <si>
    <t xml:space="preserve">22:55</t>
  </si>
  <si>
    <t xml:space="preserve">L44BHJ</t>
  </si>
  <si>
    <t xml:space="preserve">22/10/2026</t>
  </si>
  <si>
    <t xml:space="preserve">Marraqueche (RAK) → Budapeste (BUD)</t>
  </si>
  <si>
    <t xml:space="preserve">Wizz Air</t>
  </si>
  <si>
    <t xml:space="preserve">W6 2460</t>
  </si>
  <si>
    <t xml:space="preserve">16:20</t>
  </si>
  <si>
    <t xml:space="preserve">20:30</t>
  </si>
  <si>
    <t xml:space="preserve">851148903</t>
  </si>
  <si>
    <t xml:space="preserve">25/10/2026</t>
  </si>
  <si>
    <t xml:space="preserve">Budapeste (BUD) → Baku (GYD)</t>
  </si>
  <si>
    <t xml:space="preserve">W6 2365</t>
  </si>
  <si>
    <t xml:space="preserve">12:15</t>
  </si>
  <si>
    <t xml:space="preserve">15:50</t>
  </si>
  <si>
    <t xml:space="preserve">XPRRKG</t>
  </si>
  <si>
    <t xml:space="preserve">28/10/2026</t>
  </si>
  <si>
    <t xml:space="preserve">Baku (GYD) → Tbilisi (TBS)</t>
  </si>
  <si>
    <t xml:space="preserve">AZAL (Azerbaijan Airlines)</t>
  </si>
  <si>
    <t xml:space="preserve">A confirmar</t>
  </si>
  <si>
    <t xml:space="preserve">20:50</t>
  </si>
  <si>
    <t xml:space="preserve">22:00</t>
  </si>
  <si>
    <t xml:space="preserve">-</t>
  </si>
  <si>
    <t xml:space="preserve">Pendente de compra</t>
  </si>
  <si>
    <t xml:space="preserve">31/10/2026</t>
  </si>
  <si>
    <t xml:space="preserve">Tbilisi (TBS) → Atenas (ATH)</t>
  </si>
  <si>
    <t xml:space="preserve">Aegean Airlines</t>
  </si>
  <si>
    <t xml:space="preserve">A3 897</t>
  </si>
  <si>
    <t xml:space="preserve">06:00</t>
  </si>
  <si>
    <t xml:space="preserve">07:00</t>
  </si>
  <si>
    <t xml:space="preserve">9JCJ5F</t>
  </si>
  <si>
    <t xml:space="preserve">Claudio, Cristiano e Ney. Tarifa Light: só 1 volume (mala até 8 kg ou item pessoal).</t>
  </si>
  <si>
    <t xml:space="preserve">01/11/2026</t>
  </si>
  <si>
    <t xml:space="preserve">SKY express</t>
  </si>
  <si>
    <t xml:space="preserve">GQ 785</t>
  </si>
  <si>
    <t xml:space="preserve">02:45</t>
  </si>
  <si>
    <t xml:space="preserve">04:15</t>
  </si>
  <si>
    <t xml:space="preserve">HT190N</t>
  </si>
  <si>
    <t xml:space="preserve">Atenas (ATH) → Lisboa (LIS)</t>
  </si>
  <si>
    <t xml:space="preserve">A3 (nº a confirmar)</t>
  </si>
  <si>
    <t xml:space="preserve">72MG3J</t>
  </si>
  <si>
    <t xml:space="preserve">Ney. Claudio também precisa ir de Atenas a Lisboa neste dia (voo dele a confirmar).</t>
  </si>
  <si>
    <t xml:space="preserve">Lisboa (LIS) → Luanda (NBJ)</t>
  </si>
  <si>
    <t xml:space="preserve">653</t>
  </si>
  <si>
    <t xml:space="preserve">22:35</t>
  </si>
  <si>
    <t xml:space="preserve">06:30 (+1d)</t>
  </si>
  <si>
    <t xml:space="preserve">Só Claudio. Precisa chegar de Atenas a Lisboa no mesmo dia.</t>
  </si>
  <si>
    <t xml:space="preserve">02/11/2026</t>
  </si>
  <si>
    <t xml:space="preserve">Luanda (NBJ) → São Paulo (GRU)</t>
  </si>
  <si>
    <t xml:space="preserve">747</t>
  </si>
  <si>
    <t xml:space="preserve">10:35</t>
  </si>
  <si>
    <t xml:space="preserve">15:05</t>
  </si>
  <si>
    <t xml:space="preserve">Só Claudio.</t>
  </si>
  <si>
    <t xml:space="preserve">03/11/2026</t>
  </si>
  <si>
    <t xml:space="preserve">A3 720</t>
  </si>
  <si>
    <t xml:space="preserve">08:35</t>
  </si>
  <si>
    <t xml:space="preserve">11:05</t>
  </si>
  <si>
    <t xml:space="preserve">XAISFZ</t>
  </si>
  <si>
    <t xml:space="preserve">22:30</t>
  </si>
  <si>
    <t xml:space="preserve">06:05 (+1d)</t>
  </si>
  <si>
    <t xml:space="preserve">04/11/2026</t>
  </si>
  <si>
    <t xml:space="preserve">05/11/2026</t>
  </si>
  <si>
    <t xml:space="preserve">São Paulo (CGH) → Brasília (BSB)</t>
  </si>
  <si>
    <t xml:space="preserve">AD 6414</t>
  </si>
  <si>
    <t xml:space="preserve">09:05</t>
  </si>
  <si>
    <t xml:space="preserve">10:55</t>
  </si>
  <si>
    <t xml:space="preserve">13/11/2026</t>
  </si>
  <si>
    <t xml:space="preserve">Brasília (BSB) → Belo Horizonte (CNF)</t>
  </si>
  <si>
    <t xml:space="preserve">Gol</t>
  </si>
  <si>
    <t xml:space="preserve">G3 1830</t>
  </si>
  <si>
    <t xml:space="preserve">05:25</t>
  </si>
  <si>
    <t xml:space="preserve">06:45</t>
  </si>
  <si>
    <t xml:space="preserve">LPSYTX</t>
  </si>
  <si>
    <t xml:space="preserve">16/11/2026</t>
  </si>
  <si>
    <t xml:space="preserve">Belo Horizonte (CNF) → Brasília (BSB)</t>
  </si>
  <si>
    <t xml:space="preserve">G3 1309</t>
  </si>
  <si>
    <t xml:space="preserve">09:45</t>
  </si>
  <si>
    <t xml:space="preserve">11:00</t>
  </si>
  <si>
    <t xml:space="preserve">19/11/2026</t>
  </si>
  <si>
    <t xml:space="preserve">Brasília (BSB) → Rio de Janeiro (GIG)</t>
  </si>
  <si>
    <t xml:space="preserve">LATAM</t>
  </si>
  <si>
    <t xml:space="preserve">LA 3245</t>
  </si>
  <si>
    <t xml:space="preserve">19:30</t>
  </si>
  <si>
    <t xml:space="preserve">21:15</t>
  </si>
  <si>
    <t xml:space="preserve">BVM-46V-8-26</t>
  </si>
  <si>
    <t xml:space="preserve">24/11/2026</t>
  </si>
  <si>
    <t xml:space="preserve">Rio de Janeiro (SDU) → Brasília (BSB)</t>
  </si>
  <si>
    <t xml:space="preserve">G3 1801</t>
  </si>
  <si>
    <t xml:space="preserve">11:35</t>
  </si>
  <si>
    <t xml:space="preserve">Voo pendente: cotação de R$ 407 (1 item pessoal + 1 mala de mão, sem despachada), direto, 1h10. Número do voo a confirmar na compra.</t>
  </si>
  <si>
    <t xml:space="preserve">Hospedagem (hostels)</t>
  </si>
  <si>
    <t xml:space="preserve">Lilás = preencher após reservar. Noites e total calculados automaticamente. Lisboa não incluída.</t>
  </si>
  <si>
    <t xml:space="preserve">Cidade</t>
  </si>
  <si>
    <t xml:space="preserve">Check-in</t>
  </si>
  <si>
    <t xml:space="preserve">Check-out</t>
  </si>
  <si>
    <t xml:space="preserve">Noites</t>
  </si>
  <si>
    <t xml:space="preserve">Chegada / saída</t>
  </si>
  <si>
    <t xml:space="preserve">Região sugerida</t>
  </si>
  <si>
    <t xml:space="preserve">Hostel</t>
  </si>
  <si>
    <t xml:space="preserve">Valor total</t>
  </si>
  <si>
    <t xml:space="preserve">Observações</t>
  </si>
  <si>
    <t xml:space="preserve">Marraquexe</t>
  </si>
  <si>
    <t xml:space="preserve">Chega 22:55 (20/10)</t>
  </si>
  <si>
    <t xml:space="preserve">Medina, perto da Jemaa el-Fna</t>
  </si>
  <si>
    <t xml:space="preserve">Riad Hna Ben Saleh</t>
  </si>
  <si>
    <t xml:space="preserve">6552802435</t>
  </si>
  <si>
    <t xml:space="preserve">Reservado</t>
  </si>
  <si>
    <t xml:space="preserve">Riad Hna Ben Saleh, Derb Bouaanane, Ben Saleh nº 44, Medina. Quarto família, 4 adultos, café incluído. PAGAMENTO SÓ EM DINHEIRO (MAD). Não reembolsável. Avisar horário de chegada.</t>
  </si>
  <si>
    <t xml:space="preserve">Sai ~13:30 (22/10)</t>
  </si>
  <si>
    <t xml:space="preserve">Pendente</t>
  </si>
  <si>
    <t xml:space="preserve">URGENTE: a reserva atual cobre só 1 noite. Tentar estender no mesmo riad (21 a 22/10).</t>
  </si>
  <si>
    <t xml:space="preserve">Budapeste</t>
  </si>
  <si>
    <t xml:space="preserve">Chega 20:30 (22/10) / sai ~09:45 (25/10)</t>
  </si>
  <si>
    <t xml:space="preserve">Distrito VII (bairro judeu) ou V</t>
  </si>
  <si>
    <t xml:space="preserve">Região dos ruin bars; boa ligação de metrô.</t>
  </si>
  <si>
    <t xml:space="preserve">Baku</t>
  </si>
  <si>
    <t xml:space="preserve">Chega ~16:30 (25/10) / sai ~18:00 (28/10)</t>
  </si>
  <si>
    <t xml:space="preserve">Cidade Velha (Icherisheher) ou Nizami</t>
  </si>
  <si>
    <t xml:space="preserve">Pedir para guardar as mochilas no dia 28 até a saída para o aeroporto.</t>
  </si>
  <si>
    <t xml:space="preserve">Tbilisi (grupo, 4 pessoas)</t>
  </si>
  <si>
    <t xml:space="preserve">Chega ~22:30 (28/10) / meninos saem ~03:30 (31/10)</t>
  </si>
  <si>
    <t xml:space="preserve">Cidade Velha ou Sololaki</t>
  </si>
  <si>
    <t xml:space="preserve">Confirmar check-in tardio e saída de madrugada dos meninos (voo 06:00).</t>
  </si>
  <si>
    <t xml:space="preserve">Tbilisi (só Diego)</t>
  </si>
  <si>
    <t xml:space="preserve">Sai ~23:30 (31/10)</t>
  </si>
  <si>
    <t xml:space="preserve">Mesmo hostel</t>
  </si>
  <si>
    <t xml:space="preserve">Cama em dormitório basta: garante descanso e banho até o voo das 02:45.</t>
  </si>
  <si>
    <t xml:space="preserve">Atenas</t>
  </si>
  <si>
    <t xml:space="preserve">Meninos chegam 07:00 (31/10); Diego chega 04:15 (01/11) / Diego sai ~06:30 (03/11)</t>
  </si>
  <si>
    <t xml:space="preserve">Monastiraki, Psyri ou Plaka</t>
  </si>
  <si>
    <t xml:space="preserve">Reserva a partir de 31/10 já cobre a chegada dos meninos e garante cama ao Diego de madrugada. Ney e Claudio saem em 01/11; confirmar data de Cristiano.</t>
  </si>
  <si>
    <t xml:space="preserve">São Paulo</t>
  </si>
  <si>
    <t xml:space="preserve">Chega 15:05 em GRU (04/11) / voo CGH 09:05 (05/11)</t>
  </si>
  <si>
    <t xml:space="preserve">Perto de Congonhas (Moema, Campo Belo)</t>
  </si>
  <si>
    <t xml:space="preserve">Só se não houver onde ficar.</t>
  </si>
  <si>
    <t xml:space="preserve">Total</t>
  </si>
  <si>
    <t xml:space="preserve">Valores em moedas diferentes: não somados.</t>
  </si>
  <si>
    <t xml:space="preserve">Roteiro: Lisboa, Marraquexe, Budapeste, Baku, Tbilisi, Kazbegi e Atenas (16/10 a 05/11/2026)</t>
  </si>
  <si>
    <t xml:space="preserve">Verde = dias de passeio. Azul = dias de deslocamento. Amarelo = item ainda pendente.</t>
  </si>
  <si>
    <t xml:space="preserve">Dia</t>
  </si>
  <si>
    <t xml:space="preserve">Manhã</t>
  </si>
  <si>
    <t xml:space="preserve">Tarde</t>
  </si>
  <si>
    <t xml:space="preserve">Noite</t>
  </si>
  <si>
    <t xml:space="preserve">Logística / Observações</t>
  </si>
  <si>
    <t xml:space="preserve">Pernoite</t>
  </si>
  <si>
    <t xml:space="preserve">sex</t>
  </si>
  <si>
    <t xml:space="preserve">Brasília → São Paulo</t>
  </si>
  <si>
    <t xml:space="preserve">Voo para São Paulo.</t>
  </si>
  <si>
    <t xml:space="preserve">Livre.</t>
  </si>
  <si>
    <t xml:space="preserve">AD 6017 BSB 15:55 → CGH 17:40.</t>
  </si>
  <si>
    <t xml:space="preserve">17/10/2026</t>
  </si>
  <si>
    <t xml:space="preserve">sáb</t>
  </si>
  <si>
    <t xml:space="preserve">dom</t>
  </si>
  <si>
    <t xml:space="preserve">São Paulo → Luanda</t>
  </si>
  <si>
    <t xml:space="preserve">Ir para GRU (~15:00).</t>
  </si>
  <si>
    <t xml:space="preserve">Voo noturno.</t>
  </si>
  <si>
    <t xml:space="preserve">DT 748 GRU 18:05 → NBJ 06:40 (+1).</t>
  </si>
  <si>
    <t xml:space="preserve">A bordo</t>
  </si>
  <si>
    <t xml:space="preserve">seg</t>
  </si>
  <si>
    <t xml:space="preserve">Luanda → Lisboa</t>
  </si>
  <si>
    <t xml:space="preserve">Conexão em Luanda.</t>
  </si>
  <si>
    <t xml:space="preserve">Voo para Lisboa.</t>
  </si>
  <si>
    <t xml:space="preserve">Chegada; jantar leve perto do hotel.</t>
  </si>
  <si>
    <t xml:space="preserve">DT 652 NBJ 13:00 → LIS 20:35.</t>
  </si>
  <si>
    <t xml:space="preserve">Lisboa</t>
  </si>
  <si>
    <t xml:space="preserve">ter</t>
  </si>
  <si>
    <t xml:space="preserve">Lisboa → Marraquexe</t>
  </si>
  <si>
    <t xml:space="preserve">Belém: Mosteiro dos Jerónimos, Torre de Belém, pastéis de Belém.</t>
  </si>
  <si>
    <t xml:space="preserve">Alfama e Miradouro de Santa Luzia; Baixa e Praça do Comércio.</t>
  </si>
  <si>
    <t xml:space="preserve">Sair ~20:00 para o aeroporto.</t>
  </si>
  <si>
    <t xml:space="preserve">FR 4390 LIS 22:20 → RAK 22:55. Riad Hna Ben Saleh (Derb Bouaanane, Ben Saleh nº 44): avisar horário de chegada; pagamento só em dinheiro (MAD).</t>
  </si>
  <si>
    <t xml:space="preserve">21/10/2026</t>
  </si>
  <si>
    <t xml:space="preserve">qua</t>
  </si>
  <si>
    <t xml:space="preserve">Jardim Majorelle e Museu Yves Saint Laurent (abre cedo, menos fila).</t>
  </si>
  <si>
    <t xml:space="preserve">Palácio da Bahia, Túmulos Saadianos e souks da Medina.</t>
  </si>
  <si>
    <t xml:space="preserve">Praça Jemaa el-Fna ao pôr do sol; jantar num terraço.</t>
  </si>
  <si>
    <t xml:space="preserve">Majorelle exige ingresso online com horário. Pernoite 21/10 ainda sem reserva.</t>
  </si>
  <si>
    <t xml:space="preserve">qui</t>
  </si>
  <si>
    <t xml:space="preserve">Marraquexe → Budapeste</t>
  </si>
  <si>
    <t xml:space="preserve">Medersa Ben Youssef e Le Jardin Secret.</t>
  </si>
  <si>
    <t xml:space="preserve">Sair ~13:30 para o aeroporto.</t>
  </si>
  <si>
    <t xml:space="preserve">Chegada em Budapeste.</t>
  </si>
  <si>
    <t xml:space="preserve">W6 2460 RAK 16:20 → BUD 20:30.</t>
  </si>
  <si>
    <t xml:space="preserve">23/10/2026</t>
  </si>
  <si>
    <t xml:space="preserve">Buda: Castelo, Igreja de Matias, Bastião dos Pescadores.</t>
  </si>
  <si>
    <t xml:space="preserve">Ponte das Correntes; visita guiada ao Parlamento.</t>
  </si>
  <si>
    <t xml:space="preserve">Termas Széchenyi; jantar no centro.</t>
  </si>
  <si>
    <t xml:space="preserve">Parlamento e Széchenyi: comprar online.</t>
  </si>
  <si>
    <t xml:space="preserve">24/10/2026</t>
  </si>
  <si>
    <t xml:space="preserve">Grande Mercado Central; Avenida Andrássy.</t>
  </si>
  <si>
    <t xml:space="preserve">Basílica de Santo Estêvão (vista da cúpula); Sapatos no Danúbio.</t>
  </si>
  <si>
    <t xml:space="preserve">Cruzeiro noturno no Danúbio; ruin bars no bairro judeu (Szimpla Kert).</t>
  </si>
  <si>
    <t xml:space="preserve">Budapeste → Baku</t>
  </si>
  <si>
    <t xml:space="preserve">Café da manhã; sair ~09:45 para o aeroporto.</t>
  </si>
  <si>
    <t xml:space="preserve">Voo; chegada 15:50.</t>
  </si>
  <si>
    <t xml:space="preserve">Bulvar, Cidade Velha (Icherisheher) e Flame Towers iluminadas.</t>
  </si>
  <si>
    <t xml:space="preserve">W6 2365 BUD 12:15 → GYD 15:50. E-visa ASAN em mãos.</t>
  </si>
  <si>
    <t xml:space="preserve">26/10/2026</t>
  </si>
  <si>
    <t xml:space="preserve">Cidade Velha: Torre da Donzela, Palácio dos Shirvanshahs.</t>
  </si>
  <si>
    <t xml:space="preserve">Museu do Tapete; funicular até o Parque Highland.</t>
  </si>
  <si>
    <t xml:space="preserve">Jantar azerbaijano na Cidade Velha.</t>
  </si>
  <si>
    <t xml:space="preserve">Centro Heydar Aliyev costuma fechar às segundas.</t>
  </si>
  <si>
    <t xml:space="preserve">27/10/2026</t>
  </si>
  <si>
    <t xml:space="preserve">Baku (arredores)</t>
  </si>
  <si>
    <t xml:space="preserve">Gobustan (petróglifos, UNESCO) + vulcões de lama.</t>
  </si>
  <si>
    <t xml:space="preserve">Ateshgah (templo do fogo).</t>
  </si>
  <si>
    <t xml:space="preserve">Yanar Dag ao pôr do sol.</t>
  </si>
  <si>
    <t xml:space="preserve">Tour ou motorista privado (dia inteiro).</t>
  </si>
  <si>
    <t xml:space="preserve">Baku → Tbilisi</t>
  </si>
  <si>
    <t xml:space="preserve">Centro Heydar Aliyev.</t>
  </si>
  <si>
    <t xml:space="preserve">Almoço de despedida; sair ~18:00 para GYD.</t>
  </si>
  <si>
    <t xml:space="preserve">Voo para Tbilisi.</t>
  </si>
  <si>
    <t xml:space="preserve">AZAL GYD 20:50 → TBS 22:00 (PENDENTE DE COMPRA).</t>
  </si>
  <si>
    <t xml:space="preserve">Tbilisi</t>
  </si>
  <si>
    <t xml:space="preserve">29/10/2026</t>
  </si>
  <si>
    <t xml:space="preserve">Kazbegi (bate-volta)</t>
  </si>
  <si>
    <t xml:space="preserve">Saída ~08:00: Fortaleza de Ananuri; mirante de Gudauri.</t>
  </si>
  <si>
    <t xml:space="preserve">Stepantsminda e Igreja da Trindade de Gergeti.</t>
  </si>
  <si>
    <t xml:space="preserve">Retorno a Tbilisi.</t>
  </si>
  <si>
    <t xml:space="preserve">~3h por trecho. Antecipado para o dia 29 porque os meninos saem na madrugada do dia 31: se nevar, o dia 30 vira reserva.</t>
  </si>
  <si>
    <t xml:space="preserve">30/10/2026</t>
  </si>
  <si>
    <t xml:space="preserve">Cidade Velha e Catedral de Sameba (ou Kazbegi, se o dia 29 falhar).</t>
  </si>
  <si>
    <t xml:space="preserve">Banhos sulfurosos de Abanotubani; teleférico até Narikala.</t>
  </si>
  <si>
    <t xml:space="preserve">Ponte da Paz; jantar de despedida do grupo.</t>
  </si>
  <si>
    <t xml:space="preserve">Meninos: dormir cedo, saída ~03:30.</t>
  </si>
  <si>
    <t xml:space="preserve">Tbilisi (Diego) / Atenas (meninos)</t>
  </si>
  <si>
    <t xml:space="preserve">Meninos: A3 897 TBS 06:00 → ATH 07:00. Diego: Mtskheta (Jvari e Svetitskhoveli).</t>
  </si>
  <si>
    <t xml:space="preserve">Diego: Mercado da Dry Bridge; Rua Rustaveli. Meninos: Plaka e Anafiotika.</t>
  </si>
  <si>
    <t xml:space="preserve">Diego: jantar e saída ~23:30 para TBS.</t>
  </si>
  <si>
    <t xml:space="preserve">Diego mantém a noite no hostel de Tbilisi até a saída.</t>
  </si>
  <si>
    <t xml:space="preserve">Diego: aeroporto / meninos: Atenas</t>
  </si>
  <si>
    <t xml:space="preserve">Tbilisi → Atenas</t>
  </si>
  <si>
    <t xml:space="preserve">Diego chega 04:15 e encontra os meninos no hostel; descanso.</t>
  </si>
  <si>
    <t xml:space="preserve">Ney e Claudio: voo ATH → LIS (Claudio segue para Luanda às 22:35). Grupo: Plaka e Anafiotika.</t>
  </si>
  <si>
    <t xml:space="preserve">Jantar em Monastiraki com vista da Acrópole.</t>
  </si>
  <si>
    <t xml:space="preserve">GQ 785 TBS 02:45 → ATH 04:15.</t>
  </si>
  <si>
    <t xml:space="preserve">Acrópole (primeiro horário) e Museu da Acrópole.</t>
  </si>
  <si>
    <t xml:space="preserve">Ágora Antiga e Templo de Hefesto; Monastiraki.</t>
  </si>
  <si>
    <t xml:space="preserve">Pôr do sol no Monte Licabeto.</t>
  </si>
  <si>
    <t xml:space="preserve">Acrópole: ingresso online com horário. Claudio chega a GRU às 15:05 (DT 747).</t>
  </si>
  <si>
    <t xml:space="preserve">Atenas → Lisboa → Luanda</t>
  </si>
  <si>
    <t xml:space="preserve">Sair ~06:30 para o aeroporto.</t>
  </si>
  <si>
    <t xml:space="preserve">Lisboa: Chiado, Bairro Alto, Elevador de Santa Justa; LX Factory.</t>
  </si>
  <si>
    <t xml:space="preserve">Sair ~19:30 para o aeroporto.</t>
  </si>
  <si>
    <t xml:space="preserve">A3 720 ATH 08:35 → LIS 11:05; DT 653 LIS 22:30 → NBJ 06:05 (+1).</t>
  </si>
  <si>
    <t xml:space="preserve">Luanda → São Paulo</t>
  </si>
  <si>
    <t xml:space="preserve">Voo; chegada 15:05.</t>
  </si>
  <si>
    <t xml:space="preserve">Ir de GRU para perto de CGH.</t>
  </si>
  <si>
    <t xml:space="preserve">DT 747 NBJ 10:35 → GRU 15:05.</t>
  </si>
  <si>
    <t xml:space="preserve">São Paulo → Brasília</t>
  </si>
  <si>
    <t xml:space="preserve">Voo para Brasília.</t>
  </si>
  <si>
    <t xml:space="preserve">AD 6414 CGH 09:05 → BSB 10:55.</t>
  </si>
  <si>
    <t xml:space="preserve">Casa</t>
  </si>
  <si>
    <t xml:space="preserve">Pendências</t>
  </si>
  <si>
    <t xml:space="preserve">Edite apenas a coluna Status (lista suspensa). O resumo abaixo atualiza sozinho.</t>
  </si>
  <si>
    <t xml:space="preserve">#</t>
  </si>
  <si>
    <t xml:space="preserve">Item</t>
  </si>
  <si>
    <t xml:space="preserve">Prazo</t>
  </si>
  <si>
    <t xml:space="preserve">Prioridade</t>
  </si>
  <si>
    <t xml:space="preserve">E-visa ASAN (Azerbaijão)</t>
  </si>
  <si>
    <t xml:space="preserve">Alta</t>
  </si>
  <si>
    <t xml:space="preserve">Concluído</t>
  </si>
  <si>
    <t xml:space="preserve">Já emitido. Levar impresso e no celular.</t>
  </si>
  <si>
    <t xml:space="preserve">Comprar voo AZAL Baku → Tbilisi (28/10, 20:50)</t>
  </si>
  <si>
    <t xml:space="preserve">Esta semana</t>
  </si>
  <si>
    <t xml:space="preserve">Cotado a R$ 407 com mala de mão. Trem Baku–Tbilisi indisponível para quem entra com e-visa.</t>
  </si>
  <si>
    <t xml:space="preserve">Hospedagem Marraquexe 20 a 21/10</t>
  </si>
  <si>
    <t xml:space="preserve">Riad Hna Ben Saleh, reserva Booking 6552802435. Pagamento só em dinheiro (MAD).</t>
  </si>
  <si>
    <t xml:space="preserve">Reservar 2ª noite Marraquexe (21 a 22/10)</t>
  </si>
  <si>
    <t xml:space="preserve">HOJE</t>
  </si>
  <si>
    <t xml:space="preserve">Reserva atual cobre só 1 noite. Tentar estender no mesmo riad.</t>
  </si>
  <si>
    <t xml:space="preserve">Sacar dirham (MAD) para pagar o riad</t>
  </si>
  <si>
    <t xml:space="preserve">Na chegada</t>
  </si>
  <si>
    <t xml:space="preserve">€ 84,97 pagos em dinheiro na moeda local; sacar no caixa eletrônico do aeroporto de Marraquexe.</t>
  </si>
  <si>
    <t xml:space="preserve">Reservar hostel Budapeste (22 a 25/10)</t>
  </si>
  <si>
    <t xml:space="preserve">21/10</t>
  </si>
  <si>
    <t xml:space="preserve">Ver aba Hospedagem.</t>
  </si>
  <si>
    <t xml:space="preserve">Reservar hostel Baku (25 a 28/10)</t>
  </si>
  <si>
    <t xml:space="preserve">Até 23/10</t>
  </si>
  <si>
    <t xml:space="preserve">Reservar hostel Tbilisi (grupo 28 a 31/10 + Diego 31/10 a 01/11)</t>
  </si>
  <si>
    <t xml:space="preserve">Até 25/10</t>
  </si>
  <si>
    <t xml:space="preserve">Check-in ~22:30 no dia 28. Ver aba Hospedagem.</t>
  </si>
  <si>
    <t xml:space="preserve">Reservar hostel Atenas (31/10 a 03/11)</t>
  </si>
  <si>
    <t xml:space="preserve">Até 28/10</t>
  </si>
  <si>
    <t xml:space="preserve">Média</t>
  </si>
  <si>
    <t xml:space="preserve">Reservar pernoite São Paulo (04 a 05/11)</t>
  </si>
  <si>
    <t xml:space="preserve">Até 01/11</t>
  </si>
  <si>
    <t xml:space="preserve">Se não houver onde ficar. Ver aba Hospedagem.</t>
  </si>
  <si>
    <t xml:space="preserve">Ingresso Jardim Majorelle (21/10)</t>
  </si>
  <si>
    <t xml:space="preserve">Hoje</t>
  </si>
  <si>
    <t xml:space="preserve">Só online, com horário marcado.</t>
  </si>
  <si>
    <t xml:space="preserve">Visita guiada Parlamento de Budapeste (23/10)</t>
  </si>
  <si>
    <t xml:space="preserve">Esgota com antecedência; escolher horário em inglês ou espanhol.</t>
  </si>
  <si>
    <t xml:space="preserve">Ingresso Termas Széchenyi (23/10)</t>
  </si>
  <si>
    <t xml:space="preserve">Baixa</t>
  </si>
  <si>
    <t xml:space="preserve">Online sai mais barato; levar chinelo e toalha ou alugar.</t>
  </si>
  <si>
    <t xml:space="preserve">Cruzeiro noturno no Danúbio (24/10)</t>
  </si>
  <si>
    <t xml:space="preserve">Até 24/10</t>
  </si>
  <si>
    <t xml:space="preserve">Opções de 1h com ou sem jantar.</t>
  </si>
  <si>
    <t xml:space="preserve">Tour Gobustan + Absheron (27/10)</t>
  </si>
  <si>
    <t xml:space="preserve">Tour em grupo ou motorista privado.</t>
  </si>
  <si>
    <t xml:space="preserve">Transporte Kazbegi (29/10)</t>
  </si>
  <si>
    <t xml:space="preserve">Motorista privado (GoTrip/Bolt) ou tour em grupo; dia 30 como reserva.</t>
  </si>
  <si>
    <t xml:space="preserve">Transporte meninos ao aeroporto de Tbilisi (31/10, ~03:30)</t>
  </si>
  <si>
    <t xml:space="preserve">Até 30/10</t>
  </si>
  <si>
    <t xml:space="preserve">Bolt ou táxi combinado com o hostel; voo A3 897 às 06:00.</t>
  </si>
  <si>
    <t xml:space="preserve">Confirmar horário do voo do Ney ATH → LIS (01/11)</t>
  </si>
  <si>
    <t xml:space="preserve">PNR 72MG3J; recibo não traz número nem horário do voo.</t>
  </si>
  <si>
    <t xml:space="preserve">Confirmar voo ATH → LIS do Claudio (01/11)</t>
  </si>
  <si>
    <t xml:space="preserve">Precisa pousar em Lisboa a tempo do DT 653 às 22:35 (check-in fecha 60 min antes).</t>
  </si>
  <si>
    <t xml:space="preserve">Confirmar voos de saída de Atenas do Cristiano</t>
  </si>
  <si>
    <t xml:space="preserve">Necessário para fechar as noites em Atenas.</t>
  </si>
  <si>
    <t xml:space="preserve">Ingresso Acrópole (02/11)</t>
  </si>
  <si>
    <t xml:space="preserve">Online, primeiro horário do dia.</t>
  </si>
  <si>
    <t xml:space="preserve">eSIM Portugal, Grécia, Hungria e Marrocos</t>
  </si>
  <si>
    <t xml:space="preserve">Já contratado.</t>
  </si>
  <si>
    <t xml:space="preserve">eSIM ou chip Azerbaijão e Geórgia</t>
  </si>
  <si>
    <t xml:space="preserve">Não cobertos pelo eSIM atual. Opções: eSIM regional (Airalo, Holafly etc.) ou chip local na chegada (Azercell em Baku, Magti em Tbilisi).</t>
  </si>
  <si>
    <t xml:space="preserve">Câmbio</t>
  </si>
  <si>
    <t xml:space="preserve">Dirham (MAD) só se obtém no Marrocos; forint (HUF), manat (AZN), lari (GEL) e euro: sacar no caixa eletrônico.</t>
  </si>
  <si>
    <t xml:space="preserve">Concluídas</t>
  </si>
  <si>
    <t xml:space="preserve">Em andamento</t>
  </si>
  <si>
    <t xml:space="preserve">Pendentes</t>
  </si>
  <si>
    <t xml:space="preserve">% concluído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</si>
</sst>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€ &quot;#,##0.00"/>
    <numFmt numFmtId="167" formatCode="&quot;R$ &quot;#,##0.00"/>
    <numFmt numFmtId="168" formatCode="General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7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7F6"/>
      </patternFill>
    </fill>
    <fill>
      <patternFill patternType="solid">
        <fgColor rgb="FFDDEBF7"/>
        <bgColor rgb="FFEDE7F6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5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"/>
      <c r="I5" s="4" t="s">
        <v>19</v>
      </c>
      <c r="J5" s="5"/>
    </row>
    <row r="6" customFormat="false" ht="15" hidden="false" customHeight="false" outlineLevel="0" collapsed="false">
      <c r="A6" s="4" t="s">
        <v>20</v>
      </c>
      <c r="B6" s="5" t="s">
        <v>21</v>
      </c>
      <c r="C6" s="5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6" t="s">
        <v>27</v>
      </c>
      <c r="I6" s="4" t="s">
        <v>19</v>
      </c>
      <c r="J6" s="5" t="s">
        <v>28</v>
      </c>
    </row>
    <row r="7" customFormat="false" ht="15" hidden="false" customHeight="false" outlineLevel="0" collapsed="false">
      <c r="A7" s="4" t="s">
        <v>29</v>
      </c>
      <c r="B7" s="5" t="s">
        <v>30</v>
      </c>
      <c r="C7" s="5" t="s">
        <v>22</v>
      </c>
      <c r="D7" s="4" t="s">
        <v>31</v>
      </c>
      <c r="E7" s="4" t="s">
        <v>32</v>
      </c>
      <c r="F7" s="4" t="s">
        <v>33</v>
      </c>
      <c r="G7" s="4" t="s">
        <v>26</v>
      </c>
      <c r="H7" s="6" t="s">
        <v>27</v>
      </c>
      <c r="I7" s="4" t="s">
        <v>19</v>
      </c>
      <c r="J7" s="5" t="s">
        <v>28</v>
      </c>
    </row>
    <row r="8" customFormat="false" ht="15" hidden="false" customHeight="false" outlineLevel="0" collapsed="false">
      <c r="A8" s="4" t="s">
        <v>34</v>
      </c>
      <c r="B8" s="5" t="s">
        <v>35</v>
      </c>
      <c r="C8" s="5" t="s">
        <v>36</v>
      </c>
      <c r="D8" s="4" t="s">
        <v>37</v>
      </c>
      <c r="E8" s="4" t="s">
        <v>38</v>
      </c>
      <c r="F8" s="4" t="s">
        <v>39</v>
      </c>
      <c r="G8" s="4" t="s">
        <v>40</v>
      </c>
      <c r="H8" s="6"/>
      <c r="I8" s="4" t="s">
        <v>19</v>
      </c>
      <c r="J8" s="5"/>
    </row>
    <row r="9" customFormat="false" ht="15" hidden="false" customHeight="false" outlineLevel="0" collapsed="false">
      <c r="A9" s="4" t="s">
        <v>41</v>
      </c>
      <c r="B9" s="5" t="s">
        <v>42</v>
      </c>
      <c r="C9" s="5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6"/>
      <c r="I9" s="4" t="s">
        <v>19</v>
      </c>
      <c r="J9" s="5"/>
    </row>
    <row r="10" customFormat="false" ht="15" hidden="false" customHeight="false" outlineLevel="0" collapsed="false">
      <c r="A10" s="4" t="s">
        <v>48</v>
      </c>
      <c r="B10" s="5" t="s">
        <v>49</v>
      </c>
      <c r="C10" s="5" t="s">
        <v>43</v>
      </c>
      <c r="D10" s="4" t="s">
        <v>50</v>
      </c>
      <c r="E10" s="4" t="s">
        <v>51</v>
      </c>
      <c r="F10" s="4" t="s">
        <v>52</v>
      </c>
      <c r="G10" s="4" t="s">
        <v>53</v>
      </c>
      <c r="H10" s="6"/>
      <c r="I10" s="4" t="s">
        <v>19</v>
      </c>
      <c r="J10" s="5"/>
    </row>
    <row r="11" customFormat="false" ht="15" hidden="false" customHeight="false" outlineLevel="0" collapsed="false">
      <c r="A11" s="7" t="s">
        <v>54</v>
      </c>
      <c r="B11" s="8" t="s">
        <v>55</v>
      </c>
      <c r="C11" s="8" t="s">
        <v>56</v>
      </c>
      <c r="D11" s="7" t="s">
        <v>57</v>
      </c>
      <c r="E11" s="7" t="s">
        <v>58</v>
      </c>
      <c r="F11" s="7" t="s">
        <v>59</v>
      </c>
      <c r="G11" s="7" t="s">
        <v>60</v>
      </c>
      <c r="H11" s="6"/>
      <c r="I11" s="9" t="s">
        <v>61</v>
      </c>
      <c r="J11" s="5"/>
    </row>
    <row r="12" customFormat="false" ht="23.85" hidden="false" customHeight="false" outlineLevel="0" collapsed="false">
      <c r="A12" s="4" t="s">
        <v>62</v>
      </c>
      <c r="B12" s="5" t="s">
        <v>63</v>
      </c>
      <c r="C12" s="5" t="s">
        <v>64</v>
      </c>
      <c r="D12" s="4" t="s">
        <v>65</v>
      </c>
      <c r="E12" s="4" t="s">
        <v>66</v>
      </c>
      <c r="F12" s="4" t="s">
        <v>67</v>
      </c>
      <c r="G12" s="4"/>
      <c r="H12" s="6" t="s">
        <v>68</v>
      </c>
      <c r="I12" s="4" t="s">
        <v>19</v>
      </c>
      <c r="J12" s="5" t="s">
        <v>69</v>
      </c>
    </row>
    <row r="13" customFormat="false" ht="15" hidden="false" customHeight="false" outlineLevel="0" collapsed="false">
      <c r="A13" s="4" t="s">
        <v>70</v>
      </c>
      <c r="B13" s="5" t="s">
        <v>63</v>
      </c>
      <c r="C13" s="5" t="s">
        <v>71</v>
      </c>
      <c r="D13" s="4" t="s">
        <v>72</v>
      </c>
      <c r="E13" s="4" t="s">
        <v>73</v>
      </c>
      <c r="F13" s="4" t="s">
        <v>74</v>
      </c>
      <c r="G13" s="4" t="s">
        <v>75</v>
      </c>
      <c r="H13" s="6"/>
      <c r="I13" s="4" t="s">
        <v>19</v>
      </c>
      <c r="J13" s="5"/>
    </row>
    <row r="14" customFormat="false" ht="23.85" hidden="false" customHeight="false" outlineLevel="0" collapsed="false">
      <c r="A14" s="4" t="s">
        <v>70</v>
      </c>
      <c r="B14" s="5" t="s">
        <v>76</v>
      </c>
      <c r="C14" s="5" t="s">
        <v>64</v>
      </c>
      <c r="D14" s="4" t="s">
        <v>77</v>
      </c>
      <c r="E14" s="4" t="s">
        <v>57</v>
      </c>
      <c r="F14" s="4" t="s">
        <v>57</v>
      </c>
      <c r="G14" s="4"/>
      <c r="H14" s="6" t="s">
        <v>78</v>
      </c>
      <c r="I14" s="4" t="s">
        <v>19</v>
      </c>
      <c r="J14" s="5" t="s">
        <v>79</v>
      </c>
    </row>
    <row r="15" customFormat="false" ht="23.85" hidden="false" customHeight="false" outlineLevel="0" collapsed="false">
      <c r="A15" s="4" t="s">
        <v>70</v>
      </c>
      <c r="B15" s="5" t="s">
        <v>80</v>
      </c>
      <c r="C15" s="5" t="s">
        <v>22</v>
      </c>
      <c r="D15" s="4" t="s">
        <v>81</v>
      </c>
      <c r="E15" s="4" t="s">
        <v>82</v>
      </c>
      <c r="F15" s="4" t="s">
        <v>83</v>
      </c>
      <c r="G15" s="4"/>
      <c r="H15" s="6" t="s">
        <v>27</v>
      </c>
      <c r="I15" s="4" t="s">
        <v>19</v>
      </c>
      <c r="J15" s="5" t="s">
        <v>84</v>
      </c>
    </row>
    <row r="16" customFormat="false" ht="15" hidden="false" customHeight="false" outlineLevel="0" collapsed="false">
      <c r="A16" s="4" t="s">
        <v>85</v>
      </c>
      <c r="B16" s="5" t="s">
        <v>86</v>
      </c>
      <c r="C16" s="5" t="s">
        <v>22</v>
      </c>
      <c r="D16" s="4" t="s">
        <v>87</v>
      </c>
      <c r="E16" s="4" t="s">
        <v>88</v>
      </c>
      <c r="F16" s="4" t="s">
        <v>89</v>
      </c>
      <c r="G16" s="4"/>
      <c r="H16" s="6" t="s">
        <v>27</v>
      </c>
      <c r="I16" s="4" t="s">
        <v>19</v>
      </c>
      <c r="J16" s="5" t="s">
        <v>90</v>
      </c>
    </row>
    <row r="17" customFormat="false" ht="15" hidden="false" customHeight="false" outlineLevel="0" collapsed="false">
      <c r="A17" s="4" t="s">
        <v>91</v>
      </c>
      <c r="B17" s="5" t="s">
        <v>76</v>
      </c>
      <c r="C17" s="5" t="s">
        <v>64</v>
      </c>
      <c r="D17" s="4" t="s">
        <v>92</v>
      </c>
      <c r="E17" s="4" t="s">
        <v>93</v>
      </c>
      <c r="F17" s="4" t="s">
        <v>94</v>
      </c>
      <c r="G17" s="4" t="s">
        <v>95</v>
      </c>
      <c r="H17" s="6"/>
      <c r="I17" s="4" t="s">
        <v>19</v>
      </c>
      <c r="J17" s="5"/>
    </row>
    <row r="18" customFormat="false" ht="15" hidden="false" customHeight="false" outlineLevel="0" collapsed="false">
      <c r="A18" s="4" t="s">
        <v>91</v>
      </c>
      <c r="B18" s="5" t="s">
        <v>80</v>
      </c>
      <c r="C18" s="5" t="s">
        <v>22</v>
      </c>
      <c r="D18" s="4" t="s">
        <v>81</v>
      </c>
      <c r="E18" s="4" t="s">
        <v>96</v>
      </c>
      <c r="F18" s="4" t="s">
        <v>97</v>
      </c>
      <c r="G18" s="4" t="s">
        <v>26</v>
      </c>
      <c r="H18" s="6"/>
      <c r="I18" s="4" t="s">
        <v>19</v>
      </c>
      <c r="J18" s="5"/>
    </row>
    <row r="19" customFormat="false" ht="15" hidden="false" customHeight="false" outlineLevel="0" collapsed="false">
      <c r="A19" s="4" t="s">
        <v>98</v>
      </c>
      <c r="B19" s="5" t="s">
        <v>86</v>
      </c>
      <c r="C19" s="5" t="s">
        <v>22</v>
      </c>
      <c r="D19" s="4" t="s">
        <v>87</v>
      </c>
      <c r="E19" s="4" t="s">
        <v>88</v>
      </c>
      <c r="F19" s="4" t="s">
        <v>89</v>
      </c>
      <c r="G19" s="4" t="s">
        <v>26</v>
      </c>
      <c r="H19" s="6"/>
      <c r="I19" s="4" t="s">
        <v>19</v>
      </c>
      <c r="J19" s="5"/>
    </row>
    <row r="20" customFormat="false" ht="15" hidden="false" customHeight="false" outlineLevel="0" collapsed="false">
      <c r="A20" s="4" t="s">
        <v>99</v>
      </c>
      <c r="B20" s="5" t="s">
        <v>100</v>
      </c>
      <c r="C20" s="5" t="s">
        <v>14</v>
      </c>
      <c r="D20" s="4" t="s">
        <v>101</v>
      </c>
      <c r="E20" s="4" t="s">
        <v>102</v>
      </c>
      <c r="F20" s="4" t="s">
        <v>103</v>
      </c>
      <c r="G20" s="4" t="s">
        <v>18</v>
      </c>
      <c r="H20" s="6"/>
      <c r="I20" s="4" t="s">
        <v>19</v>
      </c>
      <c r="J20" s="5"/>
    </row>
    <row r="21" customFormat="false" ht="15" hidden="false" customHeight="false" outlineLevel="0" collapsed="false">
      <c r="A21" s="4" t="s">
        <v>104</v>
      </c>
      <c r="B21" s="5" t="s">
        <v>105</v>
      </c>
      <c r="C21" s="5" t="s">
        <v>106</v>
      </c>
      <c r="D21" s="4" t="s">
        <v>107</v>
      </c>
      <c r="E21" s="4" t="s">
        <v>108</v>
      </c>
      <c r="F21" s="4" t="s">
        <v>109</v>
      </c>
      <c r="G21" s="4" t="s">
        <v>110</v>
      </c>
      <c r="H21" s="6"/>
      <c r="I21" s="4" t="s">
        <v>19</v>
      </c>
      <c r="J21" s="5"/>
    </row>
    <row r="22" customFormat="false" ht="15" hidden="false" customHeight="false" outlineLevel="0" collapsed="false">
      <c r="A22" s="4" t="s">
        <v>111</v>
      </c>
      <c r="B22" s="5" t="s">
        <v>112</v>
      </c>
      <c r="C22" s="5" t="s">
        <v>106</v>
      </c>
      <c r="D22" s="4" t="s">
        <v>113</v>
      </c>
      <c r="E22" s="4" t="s">
        <v>114</v>
      </c>
      <c r="F22" s="4" t="s">
        <v>115</v>
      </c>
      <c r="G22" s="4" t="s">
        <v>110</v>
      </c>
      <c r="H22" s="6"/>
      <c r="I22" s="4" t="s">
        <v>19</v>
      </c>
      <c r="J22" s="5"/>
    </row>
    <row r="23" customFormat="false" ht="15" hidden="false" customHeight="false" outlineLevel="0" collapsed="false">
      <c r="A23" s="4" t="s">
        <v>116</v>
      </c>
      <c r="B23" s="5" t="s">
        <v>117</v>
      </c>
      <c r="C23" s="5" t="s">
        <v>118</v>
      </c>
      <c r="D23" s="4" t="s">
        <v>119</v>
      </c>
      <c r="E23" s="4" t="s">
        <v>120</v>
      </c>
      <c r="F23" s="4" t="s">
        <v>121</v>
      </c>
      <c r="G23" s="4" t="s">
        <v>122</v>
      </c>
      <c r="H23" s="6"/>
      <c r="I23" s="4" t="s">
        <v>19</v>
      </c>
      <c r="J23" s="5"/>
    </row>
    <row r="24" customFormat="false" ht="15" hidden="false" customHeight="false" outlineLevel="0" collapsed="false">
      <c r="A24" s="4" t="s">
        <v>123</v>
      </c>
      <c r="B24" s="5" t="s">
        <v>124</v>
      </c>
      <c r="C24" s="5" t="s">
        <v>106</v>
      </c>
      <c r="D24" s="4" t="s">
        <v>125</v>
      </c>
      <c r="E24" s="4" t="s">
        <v>114</v>
      </c>
      <c r="F24" s="4" t="s">
        <v>126</v>
      </c>
      <c r="G24" s="4" t="s">
        <v>122</v>
      </c>
      <c r="H24" s="6"/>
      <c r="I24" s="4" t="s">
        <v>19</v>
      </c>
      <c r="J24" s="5"/>
    </row>
    <row r="26" customFormat="false" ht="15" hidden="false" customHeight="false" outlineLevel="0" collapsed="false">
      <c r="A26" s="2" t="s">
        <v>127</v>
      </c>
    </row>
  </sheetData>
  <dataValidations count="1">
    <dataValidation allowBlank="true" errorStyle="stop" operator="between" showDropDown="false" showErrorMessage="false" showInputMessage="false" sqref="I5:I24" type="list">
      <formula1>"Confirmado,Pendente de compra"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3" t="s">
        <v>130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8</v>
      </c>
      <c r="I4" s="3" t="s">
        <v>137</v>
      </c>
      <c r="J4" s="3" t="s">
        <v>10</v>
      </c>
      <c r="K4" s="3" t="s">
        <v>138</v>
      </c>
    </row>
    <row r="5" customFormat="false" ht="46.25" hidden="false" customHeight="false" outlineLevel="0" collapsed="false">
      <c r="A5" s="10" t="s">
        <v>139</v>
      </c>
      <c r="B5" s="11" t="n">
        <v>46315</v>
      </c>
      <c r="C5" s="11" t="n">
        <v>46316</v>
      </c>
      <c r="D5" s="4" t="n">
        <f aca="false">C5-B5</f>
        <v>1</v>
      </c>
      <c r="E5" s="5" t="s">
        <v>140</v>
      </c>
      <c r="F5" s="5" t="s">
        <v>141</v>
      </c>
      <c r="G5" s="6" t="s">
        <v>142</v>
      </c>
      <c r="H5" s="6" t="s">
        <v>143</v>
      </c>
      <c r="I5" s="12" t="n">
        <v>84.97</v>
      </c>
      <c r="J5" s="4" t="s">
        <v>144</v>
      </c>
      <c r="K5" s="13" t="s">
        <v>145</v>
      </c>
    </row>
    <row r="6" customFormat="false" ht="23.85" hidden="false" customHeight="false" outlineLevel="0" collapsed="false">
      <c r="A6" s="10" t="s">
        <v>139</v>
      </c>
      <c r="B6" s="11" t="n">
        <v>46316</v>
      </c>
      <c r="C6" s="11" t="n">
        <v>46317</v>
      </c>
      <c r="D6" s="4" t="n">
        <f aca="false">C6-B6</f>
        <v>1</v>
      </c>
      <c r="E6" s="5" t="s">
        <v>146</v>
      </c>
      <c r="F6" s="5" t="s">
        <v>141</v>
      </c>
      <c r="G6" s="6"/>
      <c r="H6" s="6"/>
      <c r="I6" s="14"/>
      <c r="J6" s="4" t="s">
        <v>147</v>
      </c>
      <c r="K6" s="13" t="s">
        <v>148</v>
      </c>
    </row>
    <row r="7" customFormat="false" ht="23.85" hidden="false" customHeight="false" outlineLevel="0" collapsed="false">
      <c r="A7" s="10" t="s">
        <v>149</v>
      </c>
      <c r="B7" s="11" t="n">
        <v>46317</v>
      </c>
      <c r="C7" s="11" t="n">
        <v>46320</v>
      </c>
      <c r="D7" s="4" t="n">
        <f aca="false">C7-B7</f>
        <v>3</v>
      </c>
      <c r="E7" s="5" t="s">
        <v>150</v>
      </c>
      <c r="F7" s="5" t="s">
        <v>151</v>
      </c>
      <c r="G7" s="6"/>
      <c r="H7" s="6"/>
      <c r="I7" s="14"/>
      <c r="J7" s="4" t="s">
        <v>147</v>
      </c>
      <c r="K7" s="5" t="s">
        <v>152</v>
      </c>
    </row>
    <row r="8" customFormat="false" ht="23.85" hidden="false" customHeight="false" outlineLevel="0" collapsed="false">
      <c r="A8" s="10" t="s">
        <v>153</v>
      </c>
      <c r="B8" s="11" t="n">
        <v>46320</v>
      </c>
      <c r="C8" s="11" t="n">
        <v>46323</v>
      </c>
      <c r="D8" s="4" t="n">
        <f aca="false">C8-B8</f>
        <v>3</v>
      </c>
      <c r="E8" s="5" t="s">
        <v>154</v>
      </c>
      <c r="F8" s="5" t="s">
        <v>155</v>
      </c>
      <c r="G8" s="6"/>
      <c r="H8" s="6"/>
      <c r="I8" s="14"/>
      <c r="J8" s="4" t="s">
        <v>147</v>
      </c>
      <c r="K8" s="5" t="s">
        <v>156</v>
      </c>
    </row>
    <row r="9" customFormat="false" ht="23.85" hidden="false" customHeight="false" outlineLevel="0" collapsed="false">
      <c r="A9" s="10" t="s">
        <v>157</v>
      </c>
      <c r="B9" s="11" t="n">
        <v>46323</v>
      </c>
      <c r="C9" s="11" t="n">
        <v>46326</v>
      </c>
      <c r="D9" s="4" t="n">
        <f aca="false">C9-B9</f>
        <v>3</v>
      </c>
      <c r="E9" s="5" t="s">
        <v>158</v>
      </c>
      <c r="F9" s="5" t="s">
        <v>159</v>
      </c>
      <c r="G9" s="6"/>
      <c r="H9" s="6"/>
      <c r="I9" s="14"/>
      <c r="J9" s="4" t="s">
        <v>147</v>
      </c>
      <c r="K9" s="5" t="s">
        <v>160</v>
      </c>
    </row>
    <row r="10" customFormat="false" ht="23.85" hidden="false" customHeight="false" outlineLevel="0" collapsed="false">
      <c r="A10" s="10" t="s">
        <v>161</v>
      </c>
      <c r="B10" s="11" t="n">
        <v>46326</v>
      </c>
      <c r="C10" s="11" t="n">
        <v>46327</v>
      </c>
      <c r="D10" s="4" t="n">
        <f aca="false">C10-B10</f>
        <v>1</v>
      </c>
      <c r="E10" s="5" t="s">
        <v>162</v>
      </c>
      <c r="F10" s="5" t="s">
        <v>163</v>
      </c>
      <c r="G10" s="6"/>
      <c r="H10" s="6"/>
      <c r="I10" s="14"/>
      <c r="J10" s="4" t="s">
        <v>147</v>
      </c>
      <c r="K10" s="5" t="s">
        <v>164</v>
      </c>
    </row>
    <row r="11" customFormat="false" ht="35.05" hidden="false" customHeight="false" outlineLevel="0" collapsed="false">
      <c r="A11" s="10" t="s">
        <v>165</v>
      </c>
      <c r="B11" s="11" t="n">
        <v>46326</v>
      </c>
      <c r="C11" s="11" t="n">
        <v>46329</v>
      </c>
      <c r="D11" s="4" t="n">
        <f aca="false">C11-B11</f>
        <v>3</v>
      </c>
      <c r="E11" s="5" t="s">
        <v>166</v>
      </c>
      <c r="F11" s="5" t="s">
        <v>167</v>
      </c>
      <c r="G11" s="6"/>
      <c r="H11" s="6"/>
      <c r="I11" s="14"/>
      <c r="J11" s="4" t="s">
        <v>147</v>
      </c>
      <c r="K11" s="5" t="s">
        <v>168</v>
      </c>
    </row>
    <row r="12" customFormat="false" ht="23.85" hidden="false" customHeight="false" outlineLevel="0" collapsed="false">
      <c r="A12" s="10" t="s">
        <v>169</v>
      </c>
      <c r="B12" s="11" t="n">
        <v>46330</v>
      </c>
      <c r="C12" s="11" t="n">
        <v>46331</v>
      </c>
      <c r="D12" s="4" t="n">
        <f aca="false">C12-B12</f>
        <v>1</v>
      </c>
      <c r="E12" s="5" t="s">
        <v>170</v>
      </c>
      <c r="F12" s="5" t="s">
        <v>171</v>
      </c>
      <c r="G12" s="6"/>
      <c r="H12" s="6"/>
      <c r="I12" s="14"/>
      <c r="J12" s="4" t="s">
        <v>147</v>
      </c>
      <c r="K12" s="5" t="s">
        <v>172</v>
      </c>
    </row>
    <row r="13" customFormat="false" ht="15" hidden="false" customHeight="false" outlineLevel="0" collapsed="false">
      <c r="A13" s="15" t="s">
        <v>173</v>
      </c>
      <c r="B13" s="16"/>
      <c r="C13" s="16"/>
      <c r="D13" s="15" t="n">
        <f aca="false">SUM(D5:D12)</f>
        <v>16</v>
      </c>
      <c r="E13" s="16"/>
      <c r="F13" s="16"/>
      <c r="G13" s="16"/>
      <c r="H13" s="16"/>
      <c r="I13" s="16"/>
      <c r="J13" s="16"/>
      <c r="K13" s="17" t="s">
        <v>174</v>
      </c>
    </row>
  </sheetData>
  <conditionalFormatting sqref="J5:J12">
    <cfRule type="expression" priority="2" aboveAverage="0" equalAverage="0" bottom="0" percent="0" rank="0" text="" dxfId="0">
      <formula>OR($J5="Reservado",$J5="Pago")</formula>
    </cfRule>
    <cfRule type="expression" priority="3" aboveAverage="0" equalAverage="0" bottom="0" percent="0" rank="0" text="" dxfId="1">
      <formula>$J5="Pendente"</formula>
    </cfRule>
  </conditionalFormatting>
  <dataValidations count="1">
    <dataValidation allowBlank="false" errorStyle="stop" operator="between" showDropDown="false" showErrorMessage="false" showInputMessage="false" sqref="J5:J12" type="list">
      <formula1>"Pendente,Reservado,Pago"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5" min="4" style="0" width="36"/>
    <col collapsed="false" customWidth="true" hidden="false" outlineLevel="0" max="6" min="6" style="0" width="32"/>
    <col collapsed="false" customWidth="true" hidden="false" outlineLevel="0" max="7" min="7" style="0" width="4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3" t="s">
        <v>2</v>
      </c>
      <c r="B4" s="3" t="s">
        <v>177</v>
      </c>
      <c r="C4" s="3" t="s">
        <v>130</v>
      </c>
      <c r="D4" s="3" t="s">
        <v>178</v>
      </c>
      <c r="E4" s="3" t="s">
        <v>179</v>
      </c>
      <c r="F4" s="3" t="s">
        <v>180</v>
      </c>
      <c r="G4" s="3" t="s">
        <v>181</v>
      </c>
      <c r="H4" s="3" t="s">
        <v>182</v>
      </c>
    </row>
    <row r="5" customFormat="false" ht="15" hidden="false" customHeight="false" outlineLevel="0" collapsed="false">
      <c r="A5" s="18" t="s">
        <v>12</v>
      </c>
      <c r="B5" s="18" t="s">
        <v>183</v>
      </c>
      <c r="C5" s="19" t="s">
        <v>184</v>
      </c>
      <c r="D5" s="20" t="s">
        <v>60</v>
      </c>
      <c r="E5" s="20" t="s">
        <v>185</v>
      </c>
      <c r="F5" s="20" t="s">
        <v>186</v>
      </c>
      <c r="G5" s="20" t="s">
        <v>187</v>
      </c>
      <c r="H5" s="20" t="s">
        <v>169</v>
      </c>
    </row>
    <row r="6" customFormat="false" ht="15" hidden="false" customHeight="false" outlineLevel="0" collapsed="false">
      <c r="A6" s="18" t="s">
        <v>188</v>
      </c>
      <c r="B6" s="18" t="s">
        <v>189</v>
      </c>
      <c r="C6" s="19" t="s">
        <v>169</v>
      </c>
      <c r="D6" s="20" t="s">
        <v>186</v>
      </c>
      <c r="E6" s="20" t="s">
        <v>186</v>
      </c>
      <c r="F6" s="20" t="s">
        <v>186</v>
      </c>
      <c r="G6" s="20"/>
      <c r="H6" s="20" t="s">
        <v>169</v>
      </c>
    </row>
    <row r="7" customFormat="false" ht="15" hidden="false" customHeight="false" outlineLevel="0" collapsed="false">
      <c r="A7" s="18" t="s">
        <v>20</v>
      </c>
      <c r="B7" s="18" t="s">
        <v>190</v>
      </c>
      <c r="C7" s="19" t="s">
        <v>191</v>
      </c>
      <c r="D7" s="20" t="s">
        <v>186</v>
      </c>
      <c r="E7" s="20" t="s">
        <v>192</v>
      </c>
      <c r="F7" s="20" t="s">
        <v>193</v>
      </c>
      <c r="G7" s="20" t="s">
        <v>194</v>
      </c>
      <c r="H7" s="20" t="s">
        <v>195</v>
      </c>
    </row>
    <row r="8" customFormat="false" ht="15" hidden="false" customHeight="false" outlineLevel="0" collapsed="false">
      <c r="A8" s="18" t="s">
        <v>29</v>
      </c>
      <c r="B8" s="18" t="s">
        <v>196</v>
      </c>
      <c r="C8" s="19" t="s">
        <v>197</v>
      </c>
      <c r="D8" s="20" t="s">
        <v>198</v>
      </c>
      <c r="E8" s="20" t="s">
        <v>199</v>
      </c>
      <c r="F8" s="20" t="s">
        <v>200</v>
      </c>
      <c r="G8" s="20" t="s">
        <v>201</v>
      </c>
      <c r="H8" s="20" t="s">
        <v>202</v>
      </c>
    </row>
    <row r="9" customFormat="false" ht="46.25" hidden="false" customHeight="false" outlineLevel="0" collapsed="false">
      <c r="A9" s="21" t="s">
        <v>34</v>
      </c>
      <c r="B9" s="21" t="s">
        <v>203</v>
      </c>
      <c r="C9" s="22" t="s">
        <v>204</v>
      </c>
      <c r="D9" s="23" t="s">
        <v>205</v>
      </c>
      <c r="E9" s="23" t="s">
        <v>206</v>
      </c>
      <c r="F9" s="23" t="s">
        <v>207</v>
      </c>
      <c r="G9" s="23" t="s">
        <v>208</v>
      </c>
      <c r="H9" s="23" t="s">
        <v>139</v>
      </c>
    </row>
    <row r="10" customFormat="false" ht="23.85" hidden="false" customHeight="false" outlineLevel="0" collapsed="false">
      <c r="A10" s="21" t="s">
        <v>209</v>
      </c>
      <c r="B10" s="21" t="s">
        <v>210</v>
      </c>
      <c r="C10" s="22" t="s">
        <v>139</v>
      </c>
      <c r="D10" s="23" t="s">
        <v>211</v>
      </c>
      <c r="E10" s="23" t="s">
        <v>212</v>
      </c>
      <c r="F10" s="23" t="s">
        <v>213</v>
      </c>
      <c r="G10" s="23" t="s">
        <v>214</v>
      </c>
      <c r="H10" s="23" t="s">
        <v>139</v>
      </c>
    </row>
    <row r="11" customFormat="false" ht="23.85" hidden="false" customHeight="false" outlineLevel="0" collapsed="false">
      <c r="A11" s="21" t="s">
        <v>41</v>
      </c>
      <c r="B11" s="21" t="s">
        <v>215</v>
      </c>
      <c r="C11" s="22" t="s">
        <v>216</v>
      </c>
      <c r="D11" s="23" t="s">
        <v>217</v>
      </c>
      <c r="E11" s="23" t="s">
        <v>218</v>
      </c>
      <c r="F11" s="23" t="s">
        <v>219</v>
      </c>
      <c r="G11" s="23" t="s">
        <v>220</v>
      </c>
      <c r="H11" s="23" t="s">
        <v>149</v>
      </c>
    </row>
    <row r="12" customFormat="false" ht="23.85" hidden="false" customHeight="false" outlineLevel="0" collapsed="false">
      <c r="A12" s="21" t="s">
        <v>221</v>
      </c>
      <c r="B12" s="21" t="s">
        <v>183</v>
      </c>
      <c r="C12" s="22" t="s">
        <v>149</v>
      </c>
      <c r="D12" s="23" t="s">
        <v>222</v>
      </c>
      <c r="E12" s="23" t="s">
        <v>223</v>
      </c>
      <c r="F12" s="23" t="s">
        <v>224</v>
      </c>
      <c r="G12" s="23" t="s">
        <v>225</v>
      </c>
      <c r="H12" s="23" t="s">
        <v>149</v>
      </c>
    </row>
    <row r="13" customFormat="false" ht="23.85" hidden="false" customHeight="false" outlineLevel="0" collapsed="false">
      <c r="A13" s="21" t="s">
        <v>226</v>
      </c>
      <c r="B13" s="21" t="s">
        <v>189</v>
      </c>
      <c r="C13" s="22" t="s">
        <v>149</v>
      </c>
      <c r="D13" s="23" t="s">
        <v>227</v>
      </c>
      <c r="E13" s="23" t="s">
        <v>228</v>
      </c>
      <c r="F13" s="23" t="s">
        <v>229</v>
      </c>
      <c r="G13" s="23"/>
      <c r="H13" s="23" t="s">
        <v>149</v>
      </c>
    </row>
    <row r="14" customFormat="false" ht="23.85" hidden="false" customHeight="false" outlineLevel="0" collapsed="false">
      <c r="A14" s="21" t="s">
        <v>48</v>
      </c>
      <c r="B14" s="21" t="s">
        <v>190</v>
      </c>
      <c r="C14" s="22" t="s">
        <v>230</v>
      </c>
      <c r="D14" s="23" t="s">
        <v>231</v>
      </c>
      <c r="E14" s="23" t="s">
        <v>232</v>
      </c>
      <c r="F14" s="23" t="s">
        <v>233</v>
      </c>
      <c r="G14" s="23" t="s">
        <v>234</v>
      </c>
      <c r="H14" s="23" t="s">
        <v>153</v>
      </c>
    </row>
    <row r="15" customFormat="false" ht="23.85" hidden="false" customHeight="false" outlineLevel="0" collapsed="false">
      <c r="A15" s="21" t="s">
        <v>235</v>
      </c>
      <c r="B15" s="21" t="s">
        <v>196</v>
      </c>
      <c r="C15" s="22" t="s">
        <v>153</v>
      </c>
      <c r="D15" s="23" t="s">
        <v>236</v>
      </c>
      <c r="E15" s="23" t="s">
        <v>237</v>
      </c>
      <c r="F15" s="23" t="s">
        <v>238</v>
      </c>
      <c r="G15" s="23" t="s">
        <v>239</v>
      </c>
      <c r="H15" s="23" t="s">
        <v>153</v>
      </c>
    </row>
    <row r="16" customFormat="false" ht="23.85" hidden="false" customHeight="false" outlineLevel="0" collapsed="false">
      <c r="A16" s="21" t="s">
        <v>240</v>
      </c>
      <c r="B16" s="21" t="s">
        <v>203</v>
      </c>
      <c r="C16" s="22" t="s">
        <v>241</v>
      </c>
      <c r="D16" s="23" t="s">
        <v>242</v>
      </c>
      <c r="E16" s="23" t="s">
        <v>243</v>
      </c>
      <c r="F16" s="23" t="s">
        <v>244</v>
      </c>
      <c r="G16" s="23" t="s">
        <v>245</v>
      </c>
      <c r="H16" s="23" t="s">
        <v>153</v>
      </c>
    </row>
    <row r="17" customFormat="false" ht="23.85" hidden="false" customHeight="false" outlineLevel="0" collapsed="false">
      <c r="A17" s="21" t="s">
        <v>54</v>
      </c>
      <c r="B17" s="21" t="s">
        <v>210</v>
      </c>
      <c r="C17" s="22" t="s">
        <v>246</v>
      </c>
      <c r="D17" s="23" t="s">
        <v>247</v>
      </c>
      <c r="E17" s="23" t="s">
        <v>248</v>
      </c>
      <c r="F17" s="23" t="s">
        <v>249</v>
      </c>
      <c r="G17" s="8" t="s">
        <v>250</v>
      </c>
      <c r="H17" s="23" t="s">
        <v>251</v>
      </c>
    </row>
    <row r="18" customFormat="false" ht="35.05" hidden="false" customHeight="false" outlineLevel="0" collapsed="false">
      <c r="A18" s="21" t="s">
        <v>252</v>
      </c>
      <c r="B18" s="21" t="s">
        <v>215</v>
      </c>
      <c r="C18" s="22" t="s">
        <v>253</v>
      </c>
      <c r="D18" s="23" t="s">
        <v>254</v>
      </c>
      <c r="E18" s="23" t="s">
        <v>255</v>
      </c>
      <c r="F18" s="23" t="s">
        <v>256</v>
      </c>
      <c r="G18" s="23" t="s">
        <v>257</v>
      </c>
      <c r="H18" s="23" t="s">
        <v>251</v>
      </c>
    </row>
    <row r="19" customFormat="false" ht="23.85" hidden="false" customHeight="false" outlineLevel="0" collapsed="false">
      <c r="A19" s="21" t="s">
        <v>258</v>
      </c>
      <c r="B19" s="21" t="s">
        <v>183</v>
      </c>
      <c r="C19" s="22" t="s">
        <v>251</v>
      </c>
      <c r="D19" s="23" t="s">
        <v>259</v>
      </c>
      <c r="E19" s="23" t="s">
        <v>260</v>
      </c>
      <c r="F19" s="23" t="s">
        <v>261</v>
      </c>
      <c r="G19" s="23" t="s">
        <v>262</v>
      </c>
      <c r="H19" s="23" t="s">
        <v>251</v>
      </c>
    </row>
    <row r="20" customFormat="false" ht="23.85" hidden="false" customHeight="false" outlineLevel="0" collapsed="false">
      <c r="A20" s="21" t="s">
        <v>62</v>
      </c>
      <c r="B20" s="21" t="s">
        <v>189</v>
      </c>
      <c r="C20" s="22" t="s">
        <v>263</v>
      </c>
      <c r="D20" s="23" t="s">
        <v>264</v>
      </c>
      <c r="E20" s="23" t="s">
        <v>265</v>
      </c>
      <c r="F20" s="23" t="s">
        <v>266</v>
      </c>
      <c r="G20" s="23" t="s">
        <v>267</v>
      </c>
      <c r="H20" s="23" t="s">
        <v>268</v>
      </c>
    </row>
    <row r="21" customFormat="false" ht="35.05" hidden="false" customHeight="false" outlineLevel="0" collapsed="false">
      <c r="A21" s="21" t="s">
        <v>70</v>
      </c>
      <c r="B21" s="21" t="s">
        <v>190</v>
      </c>
      <c r="C21" s="22" t="s">
        <v>269</v>
      </c>
      <c r="D21" s="23" t="s">
        <v>270</v>
      </c>
      <c r="E21" s="23" t="s">
        <v>271</v>
      </c>
      <c r="F21" s="23" t="s">
        <v>272</v>
      </c>
      <c r="G21" s="23" t="s">
        <v>273</v>
      </c>
      <c r="H21" s="23" t="s">
        <v>165</v>
      </c>
    </row>
    <row r="22" customFormat="false" ht="23.85" hidden="false" customHeight="false" outlineLevel="0" collapsed="false">
      <c r="A22" s="21" t="s">
        <v>85</v>
      </c>
      <c r="B22" s="21" t="s">
        <v>196</v>
      </c>
      <c r="C22" s="22" t="s">
        <v>165</v>
      </c>
      <c r="D22" s="23" t="s">
        <v>274</v>
      </c>
      <c r="E22" s="23" t="s">
        <v>275</v>
      </c>
      <c r="F22" s="23" t="s">
        <v>276</v>
      </c>
      <c r="G22" s="23" t="s">
        <v>277</v>
      </c>
      <c r="H22" s="23" t="s">
        <v>165</v>
      </c>
    </row>
    <row r="23" customFormat="false" ht="23.85" hidden="false" customHeight="false" outlineLevel="0" collapsed="false">
      <c r="A23" s="18" t="s">
        <v>91</v>
      </c>
      <c r="B23" s="18" t="s">
        <v>203</v>
      </c>
      <c r="C23" s="19" t="s">
        <v>278</v>
      </c>
      <c r="D23" s="20" t="s">
        <v>279</v>
      </c>
      <c r="E23" s="20" t="s">
        <v>280</v>
      </c>
      <c r="F23" s="20" t="s">
        <v>281</v>
      </c>
      <c r="G23" s="20" t="s">
        <v>282</v>
      </c>
      <c r="H23" s="20" t="s">
        <v>195</v>
      </c>
    </row>
    <row r="24" customFormat="false" ht="15" hidden="false" customHeight="false" outlineLevel="0" collapsed="false">
      <c r="A24" s="18" t="s">
        <v>98</v>
      </c>
      <c r="B24" s="18" t="s">
        <v>210</v>
      </c>
      <c r="C24" s="19" t="s">
        <v>283</v>
      </c>
      <c r="D24" s="20" t="s">
        <v>198</v>
      </c>
      <c r="E24" s="20" t="s">
        <v>284</v>
      </c>
      <c r="F24" s="20" t="s">
        <v>285</v>
      </c>
      <c r="G24" s="20" t="s">
        <v>286</v>
      </c>
      <c r="H24" s="20" t="s">
        <v>169</v>
      </c>
    </row>
    <row r="25" customFormat="false" ht="15" hidden="false" customHeight="false" outlineLevel="0" collapsed="false">
      <c r="A25" s="18" t="s">
        <v>99</v>
      </c>
      <c r="B25" s="18" t="s">
        <v>215</v>
      </c>
      <c r="C25" s="19" t="s">
        <v>287</v>
      </c>
      <c r="D25" s="20" t="s">
        <v>288</v>
      </c>
      <c r="E25" s="20" t="s">
        <v>60</v>
      </c>
      <c r="F25" s="20" t="s">
        <v>60</v>
      </c>
      <c r="G25" s="20" t="s">
        <v>289</v>
      </c>
      <c r="H25" s="20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3" t="s">
        <v>293</v>
      </c>
      <c r="B4" s="3" t="s">
        <v>294</v>
      </c>
      <c r="C4" s="3" t="s">
        <v>295</v>
      </c>
      <c r="D4" s="3" t="s">
        <v>296</v>
      </c>
      <c r="E4" s="3" t="s">
        <v>10</v>
      </c>
      <c r="F4" s="3" t="s">
        <v>138</v>
      </c>
    </row>
    <row r="5" customFormat="false" ht="15" hidden="false" customHeight="false" outlineLevel="0" collapsed="false">
      <c r="A5" s="4" t="n">
        <v>1</v>
      </c>
      <c r="B5" s="5" t="s">
        <v>297</v>
      </c>
      <c r="C5" s="4" t="s">
        <v>60</v>
      </c>
      <c r="D5" s="24" t="s">
        <v>298</v>
      </c>
      <c r="E5" s="4" t="s">
        <v>299</v>
      </c>
      <c r="F5" s="5" t="s">
        <v>300</v>
      </c>
    </row>
    <row r="6" customFormat="false" ht="23.85" hidden="false" customHeight="false" outlineLevel="0" collapsed="false">
      <c r="A6" s="4" t="n">
        <v>2</v>
      </c>
      <c r="B6" s="5" t="s">
        <v>301</v>
      </c>
      <c r="C6" s="4" t="s">
        <v>302</v>
      </c>
      <c r="D6" s="24" t="s">
        <v>298</v>
      </c>
      <c r="E6" s="4" t="s">
        <v>147</v>
      </c>
      <c r="F6" s="5" t="s">
        <v>303</v>
      </c>
    </row>
    <row r="7" customFormat="false" ht="23.85" hidden="false" customHeight="false" outlineLevel="0" collapsed="false">
      <c r="A7" s="4" t="n">
        <v>3</v>
      </c>
      <c r="B7" s="5" t="s">
        <v>304</v>
      </c>
      <c r="C7" s="4" t="s">
        <v>60</v>
      </c>
      <c r="D7" s="24" t="s">
        <v>298</v>
      </c>
      <c r="E7" s="4" t="s">
        <v>299</v>
      </c>
      <c r="F7" s="5" t="s">
        <v>305</v>
      </c>
    </row>
    <row r="8" customFormat="false" ht="15" hidden="false" customHeight="false" outlineLevel="0" collapsed="false">
      <c r="A8" s="4" t="n">
        <v>4</v>
      </c>
      <c r="B8" s="5" t="s">
        <v>306</v>
      </c>
      <c r="C8" s="4" t="s">
        <v>307</v>
      </c>
      <c r="D8" s="24" t="s">
        <v>298</v>
      </c>
      <c r="E8" s="4" t="s">
        <v>147</v>
      </c>
      <c r="F8" s="5" t="s">
        <v>308</v>
      </c>
    </row>
    <row r="9" customFormat="false" ht="23.85" hidden="false" customHeight="false" outlineLevel="0" collapsed="false">
      <c r="A9" s="4" t="n">
        <v>5</v>
      </c>
      <c r="B9" s="5" t="s">
        <v>309</v>
      </c>
      <c r="C9" s="4" t="s">
        <v>310</v>
      </c>
      <c r="D9" s="24" t="s">
        <v>298</v>
      </c>
      <c r="E9" s="4" t="s">
        <v>147</v>
      </c>
      <c r="F9" s="5" t="s">
        <v>311</v>
      </c>
    </row>
    <row r="10" customFormat="false" ht="15" hidden="false" customHeight="false" outlineLevel="0" collapsed="false">
      <c r="A10" s="4" t="n">
        <v>6</v>
      </c>
      <c r="B10" s="5" t="s">
        <v>312</v>
      </c>
      <c r="C10" s="4" t="s">
        <v>313</v>
      </c>
      <c r="D10" s="24" t="s">
        <v>298</v>
      </c>
      <c r="E10" s="4" t="s">
        <v>147</v>
      </c>
      <c r="F10" s="5" t="s">
        <v>314</v>
      </c>
    </row>
    <row r="11" customFormat="false" ht="15" hidden="false" customHeight="false" outlineLevel="0" collapsed="false">
      <c r="A11" s="4" t="n">
        <v>7</v>
      </c>
      <c r="B11" s="5" t="s">
        <v>315</v>
      </c>
      <c r="C11" s="4" t="s">
        <v>316</v>
      </c>
      <c r="D11" s="24" t="s">
        <v>298</v>
      </c>
      <c r="E11" s="4" t="s">
        <v>147</v>
      </c>
      <c r="F11" s="5" t="s">
        <v>314</v>
      </c>
    </row>
    <row r="12" customFormat="false" ht="23.85" hidden="false" customHeight="false" outlineLevel="0" collapsed="false">
      <c r="A12" s="4" t="n">
        <v>8</v>
      </c>
      <c r="B12" s="5" t="s">
        <v>317</v>
      </c>
      <c r="C12" s="4" t="s">
        <v>318</v>
      </c>
      <c r="D12" s="24" t="s">
        <v>298</v>
      </c>
      <c r="E12" s="4" t="s">
        <v>147</v>
      </c>
      <c r="F12" s="5" t="s">
        <v>319</v>
      </c>
    </row>
    <row r="13" customFormat="false" ht="15" hidden="false" customHeight="false" outlineLevel="0" collapsed="false">
      <c r="A13" s="4" t="n">
        <v>9</v>
      </c>
      <c r="B13" s="5" t="s">
        <v>320</v>
      </c>
      <c r="C13" s="4" t="s">
        <v>321</v>
      </c>
      <c r="D13" s="4" t="s">
        <v>322</v>
      </c>
      <c r="E13" s="4" t="s">
        <v>147</v>
      </c>
      <c r="F13" s="5" t="s">
        <v>314</v>
      </c>
    </row>
    <row r="14" customFormat="false" ht="15" hidden="false" customHeight="false" outlineLevel="0" collapsed="false">
      <c r="A14" s="4" t="n">
        <v>10</v>
      </c>
      <c r="B14" s="5" t="s">
        <v>323</v>
      </c>
      <c r="C14" s="4" t="s">
        <v>324</v>
      </c>
      <c r="D14" s="4" t="s">
        <v>322</v>
      </c>
      <c r="E14" s="4" t="s">
        <v>147</v>
      </c>
      <c r="F14" s="5" t="s">
        <v>325</v>
      </c>
    </row>
    <row r="15" customFormat="false" ht="15" hidden="false" customHeight="false" outlineLevel="0" collapsed="false">
      <c r="A15" s="4" t="n">
        <v>11</v>
      </c>
      <c r="B15" s="5" t="s">
        <v>326</v>
      </c>
      <c r="C15" s="4" t="s">
        <v>327</v>
      </c>
      <c r="D15" s="24" t="s">
        <v>298</v>
      </c>
      <c r="E15" s="4" t="s">
        <v>147</v>
      </c>
      <c r="F15" s="5" t="s">
        <v>328</v>
      </c>
    </row>
    <row r="16" customFormat="false" ht="15" hidden="false" customHeight="false" outlineLevel="0" collapsed="false">
      <c r="A16" s="4" t="n">
        <v>12</v>
      </c>
      <c r="B16" s="5" t="s">
        <v>329</v>
      </c>
      <c r="C16" s="4" t="s">
        <v>313</v>
      </c>
      <c r="D16" s="4" t="s">
        <v>322</v>
      </c>
      <c r="E16" s="4" t="s">
        <v>147</v>
      </c>
      <c r="F16" s="5" t="s">
        <v>330</v>
      </c>
    </row>
    <row r="17" customFormat="false" ht="15" hidden="false" customHeight="false" outlineLevel="0" collapsed="false">
      <c r="A17" s="4" t="n">
        <v>13</v>
      </c>
      <c r="B17" s="5" t="s">
        <v>331</v>
      </c>
      <c r="C17" s="4" t="s">
        <v>316</v>
      </c>
      <c r="D17" s="4" t="s">
        <v>332</v>
      </c>
      <c r="E17" s="4" t="s">
        <v>147</v>
      </c>
      <c r="F17" s="5" t="s">
        <v>333</v>
      </c>
    </row>
    <row r="18" customFormat="false" ht="15" hidden="false" customHeight="false" outlineLevel="0" collapsed="false">
      <c r="A18" s="4" t="n">
        <v>14</v>
      </c>
      <c r="B18" s="5" t="s">
        <v>334</v>
      </c>
      <c r="C18" s="4" t="s">
        <v>335</v>
      </c>
      <c r="D18" s="4" t="s">
        <v>332</v>
      </c>
      <c r="E18" s="4" t="s">
        <v>147</v>
      </c>
      <c r="F18" s="5" t="s">
        <v>336</v>
      </c>
    </row>
    <row r="19" customFormat="false" ht="15" hidden="false" customHeight="false" outlineLevel="0" collapsed="false">
      <c r="A19" s="4" t="n">
        <v>15</v>
      </c>
      <c r="B19" s="5" t="s">
        <v>337</v>
      </c>
      <c r="C19" s="4" t="s">
        <v>318</v>
      </c>
      <c r="D19" s="4" t="s">
        <v>322</v>
      </c>
      <c r="E19" s="4" t="s">
        <v>147</v>
      </c>
      <c r="F19" s="5" t="s">
        <v>338</v>
      </c>
    </row>
    <row r="20" customFormat="false" ht="15" hidden="false" customHeight="false" outlineLevel="0" collapsed="false">
      <c r="A20" s="4" t="n">
        <v>16</v>
      </c>
      <c r="B20" s="5" t="s">
        <v>339</v>
      </c>
      <c r="C20" s="4" t="s">
        <v>321</v>
      </c>
      <c r="D20" s="4" t="s">
        <v>322</v>
      </c>
      <c r="E20" s="4" t="s">
        <v>147</v>
      </c>
      <c r="F20" s="5" t="s">
        <v>340</v>
      </c>
    </row>
    <row r="21" customFormat="false" ht="23.85" hidden="false" customHeight="false" outlineLevel="0" collapsed="false">
      <c r="A21" s="4" t="n">
        <v>17</v>
      </c>
      <c r="B21" s="5" t="s">
        <v>341</v>
      </c>
      <c r="C21" s="4" t="s">
        <v>342</v>
      </c>
      <c r="D21" s="4" t="s">
        <v>322</v>
      </c>
      <c r="E21" s="4" t="s">
        <v>147</v>
      </c>
      <c r="F21" s="5" t="s">
        <v>343</v>
      </c>
    </row>
    <row r="22" customFormat="false" ht="15" hidden="false" customHeight="false" outlineLevel="0" collapsed="false">
      <c r="A22" s="4" t="n">
        <v>18</v>
      </c>
      <c r="B22" s="5" t="s">
        <v>344</v>
      </c>
      <c r="C22" s="4" t="s">
        <v>342</v>
      </c>
      <c r="D22" s="4" t="s">
        <v>322</v>
      </c>
      <c r="E22" s="4" t="s">
        <v>147</v>
      </c>
      <c r="F22" s="5" t="s">
        <v>345</v>
      </c>
    </row>
    <row r="23" customFormat="false" ht="15" hidden="false" customHeight="false" outlineLevel="0" collapsed="false">
      <c r="A23" s="4" t="n">
        <v>19</v>
      </c>
      <c r="B23" s="5" t="s">
        <v>346</v>
      </c>
      <c r="C23" s="4" t="s">
        <v>321</v>
      </c>
      <c r="D23" s="24" t="s">
        <v>298</v>
      </c>
      <c r="E23" s="4" t="s">
        <v>147</v>
      </c>
      <c r="F23" s="5" t="s">
        <v>347</v>
      </c>
    </row>
    <row r="24" customFormat="false" ht="15" hidden="false" customHeight="false" outlineLevel="0" collapsed="false">
      <c r="A24" s="4" t="n">
        <v>20</v>
      </c>
      <c r="B24" s="5" t="s">
        <v>348</v>
      </c>
      <c r="C24" s="4" t="s">
        <v>321</v>
      </c>
      <c r="D24" s="4" t="s">
        <v>322</v>
      </c>
      <c r="E24" s="4" t="s">
        <v>147</v>
      </c>
      <c r="F24" s="5" t="s">
        <v>349</v>
      </c>
    </row>
    <row r="25" customFormat="false" ht="15" hidden="false" customHeight="false" outlineLevel="0" collapsed="false">
      <c r="A25" s="4" t="n">
        <v>21</v>
      </c>
      <c r="B25" s="5" t="s">
        <v>350</v>
      </c>
      <c r="C25" s="4" t="s">
        <v>324</v>
      </c>
      <c r="D25" s="4" t="s">
        <v>322</v>
      </c>
      <c r="E25" s="4" t="s">
        <v>147</v>
      </c>
      <c r="F25" s="5" t="s">
        <v>351</v>
      </c>
    </row>
    <row r="26" customFormat="false" ht="15" hidden="false" customHeight="false" outlineLevel="0" collapsed="false">
      <c r="A26" s="4" t="n">
        <v>22</v>
      </c>
      <c r="B26" s="5" t="s">
        <v>352</v>
      </c>
      <c r="C26" s="4" t="s">
        <v>60</v>
      </c>
      <c r="D26" s="4" t="s">
        <v>332</v>
      </c>
      <c r="E26" s="4" t="s">
        <v>299</v>
      </c>
      <c r="F26" s="5" t="s">
        <v>353</v>
      </c>
    </row>
    <row r="27" customFormat="false" ht="23.85" hidden="false" customHeight="false" outlineLevel="0" collapsed="false">
      <c r="A27" s="4" t="n">
        <v>23</v>
      </c>
      <c r="B27" s="5" t="s">
        <v>354</v>
      </c>
      <c r="C27" s="4" t="s">
        <v>318</v>
      </c>
      <c r="D27" s="4" t="s">
        <v>322</v>
      </c>
      <c r="E27" s="4" t="s">
        <v>147</v>
      </c>
      <c r="F27" s="5" t="s">
        <v>355</v>
      </c>
    </row>
    <row r="28" customFormat="false" ht="23.85" hidden="false" customHeight="false" outlineLevel="0" collapsed="false">
      <c r="A28" s="4" t="n">
        <v>24</v>
      </c>
      <c r="B28" s="5" t="s">
        <v>356</v>
      </c>
      <c r="C28" s="4" t="s">
        <v>310</v>
      </c>
      <c r="D28" s="4" t="s">
        <v>332</v>
      </c>
      <c r="E28" s="4" t="s">
        <v>147</v>
      </c>
      <c r="F28" s="5" t="s">
        <v>357</v>
      </c>
    </row>
    <row r="30" customFormat="false" ht="15" hidden="false" customHeight="false" outlineLevel="0" collapsed="false">
      <c r="A30" s="15" t="s">
        <v>358</v>
      </c>
      <c r="B30" s="25" t="n">
        <f aca="false">COUNTIF(E5:E28,"Concluído")</f>
        <v>3</v>
      </c>
    </row>
    <row r="31" customFormat="false" ht="15" hidden="false" customHeight="false" outlineLevel="0" collapsed="false">
      <c r="A31" s="15" t="s">
        <v>359</v>
      </c>
      <c r="B31" s="25" t="n">
        <f aca="false">COUNTIF(E5:E28,"Em andamento")</f>
        <v>0</v>
      </c>
    </row>
    <row r="32" customFormat="false" ht="15" hidden="false" customHeight="false" outlineLevel="0" collapsed="false">
      <c r="A32" s="15" t="s">
        <v>360</v>
      </c>
      <c r="B32" s="25" t="n">
        <f aca="false">COUNTIF(E5:E28,"Pendente")</f>
        <v>21</v>
      </c>
    </row>
    <row r="33" customFormat="false" ht="15" hidden="false" customHeight="false" outlineLevel="0" collapsed="false">
      <c r="A33" s="15" t="s">
        <v>361</v>
      </c>
      <c r="B33" s="26" t="n">
        <f aca="false">IFERROR(B30/COUNTA(B5:B28),0)</f>
        <v>0.125</v>
      </c>
    </row>
  </sheetData>
  <conditionalFormatting sqref="A5:F28">
    <cfRule type="expression" priority="2" aboveAverage="0" equalAverage="0" bottom="0" percent="0" rank="0" text="" dxfId="0">
      <formula>$E5="Concluído"</formula>
    </cfRule>
    <cfRule type="expression" priority="3" aboveAverage="0" equalAverage="0" bottom="0" percent="0" rank="0" text="" dxfId="1">
      <formula>$E5="Em andamento"</formula>
    </cfRule>
  </conditionalFormatting>
  <dataValidations count="1">
    <dataValidation allowBlank="false" errorStyle="stop" operator="between" showDropDown="false" showErrorMessage="false" showInputMessage="false" sqref="E5:E28" type="list">
      <formula1>"Pendente,Em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2026-10-21T14:25:21Z</dcterms:created>
  <dc:creator>openpyxl</dc:creator>
  <dc:description/>
  <dc:language>en-US</dc:language>
  <cp:lastModifiedBy/>
  <dcterms:modified xsi:type="dcterms:W3CDTF">2026-10-21T14:25:21Z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